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s\FinanceModel\"/>
    </mc:Choice>
  </mc:AlternateContent>
  <xr:revisionPtr revIDLastSave="0" documentId="8_{B9D97DDA-0391-47BE-A588-906DCFB317ED}" xr6:coauthVersionLast="47" xr6:coauthVersionMax="47" xr10:uidLastSave="{00000000-0000-0000-0000-000000000000}"/>
  <bookViews>
    <workbookView xWindow="-120" yWindow="-120" windowWidth="29040" windowHeight="15840" xr2:uid="{C1A901F8-BA12-4309-A84F-02203ABCD5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1" l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38" i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16" i="1"/>
  <c r="C17" i="1" s="1"/>
  <c r="C18" i="1" s="1"/>
  <c r="C19" i="1" s="1"/>
  <c r="C20" i="1" s="1"/>
  <c r="C21" i="1" s="1"/>
  <c r="C22" i="1" s="1"/>
  <c r="C23" i="1" s="1"/>
  <c r="C24" i="1" s="1"/>
  <c r="C25" i="1" s="1"/>
  <c r="C15" i="1"/>
  <c r="C14" i="1"/>
  <c r="B13" i="1"/>
  <c r="B25" i="1" s="1"/>
  <c r="B37" i="1" s="1"/>
  <c r="B49" i="1" s="1"/>
  <c r="B61" i="1" s="1"/>
  <c r="B73" i="1" s="1"/>
  <c r="B85" i="1" s="1"/>
  <c r="B97" i="1" s="1"/>
  <c r="B109" i="1" s="1"/>
  <c r="B121" i="1" s="1"/>
  <c r="D121" i="1" s="1"/>
  <c r="B12" i="1"/>
  <c r="B24" i="1" s="1"/>
  <c r="B36" i="1" s="1"/>
  <c r="B48" i="1" s="1"/>
  <c r="B60" i="1" s="1"/>
  <c r="B72" i="1" s="1"/>
  <c r="B84" i="1" s="1"/>
  <c r="B96" i="1" s="1"/>
  <c r="B108" i="1" s="1"/>
  <c r="B120" i="1" s="1"/>
  <c r="D120" i="1" s="1"/>
  <c r="B11" i="1"/>
  <c r="B23" i="1" s="1"/>
  <c r="B35" i="1" s="1"/>
  <c r="B47" i="1" s="1"/>
  <c r="B59" i="1" s="1"/>
  <c r="B71" i="1" s="1"/>
  <c r="B83" i="1" s="1"/>
  <c r="B95" i="1" s="1"/>
  <c r="B107" i="1" s="1"/>
  <c r="B119" i="1" s="1"/>
  <c r="D119" i="1" s="1"/>
  <c r="B10" i="1"/>
  <c r="B22" i="1" s="1"/>
  <c r="B34" i="1" s="1"/>
  <c r="B46" i="1" s="1"/>
  <c r="B58" i="1" s="1"/>
  <c r="B70" i="1" s="1"/>
  <c r="B82" i="1" s="1"/>
  <c r="B94" i="1" s="1"/>
  <c r="B106" i="1" s="1"/>
  <c r="B118" i="1" s="1"/>
  <c r="D118" i="1" s="1"/>
  <c r="B9" i="1"/>
  <c r="B21" i="1" s="1"/>
  <c r="B33" i="1" s="1"/>
  <c r="B45" i="1" s="1"/>
  <c r="B57" i="1" s="1"/>
  <c r="B69" i="1" s="1"/>
  <c r="B81" i="1" s="1"/>
  <c r="B93" i="1" s="1"/>
  <c r="B105" i="1" s="1"/>
  <c r="B117" i="1" s="1"/>
  <c r="D117" i="1" s="1"/>
  <c r="B8" i="1"/>
  <c r="B20" i="1" s="1"/>
  <c r="B32" i="1" s="1"/>
  <c r="B44" i="1" s="1"/>
  <c r="B56" i="1" s="1"/>
  <c r="B68" i="1" s="1"/>
  <c r="B80" i="1" s="1"/>
  <c r="B92" i="1" s="1"/>
  <c r="B104" i="1" s="1"/>
  <c r="B116" i="1" s="1"/>
  <c r="D116" i="1" s="1"/>
  <c r="B7" i="1"/>
  <c r="B19" i="1" s="1"/>
  <c r="B31" i="1" s="1"/>
  <c r="B43" i="1" s="1"/>
  <c r="B55" i="1" s="1"/>
  <c r="B67" i="1" s="1"/>
  <c r="B79" i="1" s="1"/>
  <c r="B91" i="1" s="1"/>
  <c r="B103" i="1" s="1"/>
  <c r="B115" i="1" s="1"/>
  <c r="D115" i="1" s="1"/>
  <c r="B6" i="1"/>
  <c r="B18" i="1" s="1"/>
  <c r="B30" i="1" s="1"/>
  <c r="B42" i="1" s="1"/>
  <c r="B54" i="1" s="1"/>
  <c r="B66" i="1" s="1"/>
  <c r="B78" i="1" s="1"/>
  <c r="B90" i="1" s="1"/>
  <c r="B102" i="1" s="1"/>
  <c r="B114" i="1" s="1"/>
  <c r="D114" i="1" s="1"/>
  <c r="B5" i="1"/>
  <c r="B17" i="1" s="1"/>
  <c r="B29" i="1" s="1"/>
  <c r="B41" i="1" s="1"/>
  <c r="B53" i="1" s="1"/>
  <c r="B65" i="1" s="1"/>
  <c r="B77" i="1" s="1"/>
  <c r="B89" i="1" s="1"/>
  <c r="B101" i="1" s="1"/>
  <c r="B113" i="1" s="1"/>
  <c r="D113" i="1" s="1"/>
  <c r="B4" i="1"/>
  <c r="B16" i="1" s="1"/>
  <c r="B28" i="1" s="1"/>
  <c r="B40" i="1" s="1"/>
  <c r="B52" i="1" s="1"/>
  <c r="B64" i="1" s="1"/>
  <c r="B76" i="1" s="1"/>
  <c r="B88" i="1" s="1"/>
  <c r="B100" i="1" s="1"/>
  <c r="B112" i="1" s="1"/>
  <c r="D112" i="1" s="1"/>
  <c r="B3" i="1"/>
  <c r="B15" i="1" s="1"/>
  <c r="B27" i="1" s="1"/>
  <c r="B39" i="1" s="1"/>
  <c r="B51" i="1" s="1"/>
  <c r="B63" i="1" s="1"/>
  <c r="B75" i="1" s="1"/>
  <c r="B87" i="1" s="1"/>
  <c r="B99" i="1" s="1"/>
  <c r="B111" i="1" s="1"/>
  <c r="D111" i="1" s="1"/>
  <c r="B2" i="1"/>
  <c r="D2" i="1" s="1"/>
  <c r="A2" i="1" a="1"/>
  <c r="A2" i="1" s="1"/>
  <c r="D17" i="1" l="1"/>
  <c r="D29" i="1"/>
  <c r="D65" i="1"/>
  <c r="D77" i="1"/>
  <c r="D27" i="1"/>
  <c r="D75" i="1"/>
  <c r="D28" i="1"/>
  <c r="D76" i="1"/>
  <c r="D39" i="1"/>
  <c r="D87" i="1"/>
  <c r="D40" i="1"/>
  <c r="D88" i="1"/>
  <c r="D41" i="1"/>
  <c r="D89" i="1"/>
  <c r="D3" i="1"/>
  <c r="D51" i="1"/>
  <c r="D99" i="1"/>
  <c r="D4" i="1"/>
  <c r="D52" i="1"/>
  <c r="D100" i="1"/>
  <c r="D5" i="1"/>
  <c r="D53" i="1"/>
  <c r="D101" i="1"/>
  <c r="D15" i="1"/>
  <c r="D63" i="1"/>
  <c r="D16" i="1"/>
  <c r="D64" i="1"/>
  <c r="D6" i="1"/>
  <c r="D18" i="1"/>
  <c r="D30" i="1"/>
  <c r="D42" i="1"/>
  <c r="D54" i="1"/>
  <c r="D66" i="1"/>
  <c r="D78" i="1"/>
  <c r="D90" i="1"/>
  <c r="D102" i="1"/>
  <c r="D7" i="1"/>
  <c r="D19" i="1"/>
  <c r="D31" i="1"/>
  <c r="D43" i="1"/>
  <c r="D55" i="1"/>
  <c r="D67" i="1"/>
  <c r="D79" i="1"/>
  <c r="D91" i="1"/>
  <c r="D103" i="1"/>
  <c r="D8" i="1"/>
  <c r="D20" i="1"/>
  <c r="D32" i="1"/>
  <c r="D44" i="1"/>
  <c r="D56" i="1"/>
  <c r="D68" i="1"/>
  <c r="D80" i="1"/>
  <c r="D92" i="1"/>
  <c r="D104" i="1"/>
  <c r="D9" i="1"/>
  <c r="D21" i="1"/>
  <c r="D33" i="1"/>
  <c r="D45" i="1"/>
  <c r="D57" i="1"/>
  <c r="D69" i="1"/>
  <c r="D81" i="1"/>
  <c r="D93" i="1"/>
  <c r="D105" i="1"/>
  <c r="D10" i="1"/>
  <c r="D22" i="1"/>
  <c r="D34" i="1"/>
  <c r="D46" i="1"/>
  <c r="D58" i="1"/>
  <c r="D70" i="1"/>
  <c r="D82" i="1"/>
  <c r="D94" i="1"/>
  <c r="D106" i="1"/>
  <c r="D11" i="1"/>
  <c r="D23" i="1"/>
  <c r="D35" i="1"/>
  <c r="D47" i="1"/>
  <c r="D59" i="1"/>
  <c r="D71" i="1"/>
  <c r="D83" i="1"/>
  <c r="D95" i="1"/>
  <c r="D107" i="1"/>
  <c r="D12" i="1"/>
  <c r="D24" i="1"/>
  <c r="D36" i="1"/>
  <c r="D48" i="1"/>
  <c r="D60" i="1"/>
  <c r="D72" i="1"/>
  <c r="D84" i="1"/>
  <c r="D96" i="1"/>
  <c r="D108" i="1"/>
  <c r="D13" i="1"/>
  <c r="D25" i="1"/>
  <c r="D37" i="1"/>
  <c r="D49" i="1"/>
  <c r="D61" i="1"/>
  <c r="D73" i="1"/>
  <c r="D85" i="1"/>
  <c r="D97" i="1"/>
  <c r="D109" i="1"/>
  <c r="B14" i="1"/>
  <c r="B26" i="1" l="1"/>
  <c r="D14" i="1"/>
  <c r="B38" i="1" l="1"/>
  <c r="D26" i="1"/>
  <c r="B50" i="1" l="1"/>
  <c r="D38" i="1"/>
  <c r="B62" i="1" l="1"/>
  <c r="D50" i="1"/>
  <c r="B74" i="1" l="1"/>
  <c r="D62" i="1"/>
  <c r="B86" i="1" l="1"/>
  <c r="D74" i="1"/>
  <c r="B98" i="1" l="1"/>
  <c r="D86" i="1"/>
  <c r="B110" i="1" l="1"/>
  <c r="D98" i="1"/>
  <c r="D11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<sst xmlns="http://schemas.openxmlformats.org/spreadsheetml/2006/main" count="5" uniqueCount="5">
  <si>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ventas</t>
  </si>
  <si>
    <t>MO</t>
  </si>
  <si>
    <t>Costos Directos</t>
  </si>
  <si>
    <t>Costos Indirectos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</si>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</sst>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11D2-C699-4AA6-B73A-A670E1CEB40F}">
  <dimension ref="A1:F121"/>
  <sheetViews>
    <sheetView tabSelected="1" workbookViewId="0">
      <selection activeCell="A2" sqref="A2"/>
    </sheetView>
  </sheetViews>
  <sheetFormatPr baseColWidth="10" defaultRowHeight="15" x14ac:dyDescent="0.25"/>
  <sheetData>
    <row r="1" spans="1:6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6" x14ac:dyDescent="0.25">
      <c r="A2" s="1" cm="1">
        <f t="array" ref="A2:A121">EDATE(DATE(2020,1,1),_xlfn.SEQUENCE(10*12,1,0,1))</f>
        <v>43831</v>
      </c>
      <c r="B2" s="2">
        <f ca="1">RANDBETWEEN(100,200)*200</f>
        <v>29400</v>
      </c>
      <c r="C2" s="2">
        <v>5000</v>
      </c>
      <c r="D2" s="2">
        <f ca="1">0.35*B2</f>
        <v>10290</v>
      </c>
      <c r="E2" s="2">
        <f>+C2/2.75</f>
        <v>1818.1818181818182</v>
      </c>
      <c r="F2" s="3"/>
    </row>
    <row r="3" spans="1:6" x14ac:dyDescent="0.25">
      <c r="A3" s="1">
        <v>43862</v>
      </c>
      <c r="B3" s="2">
        <f t="shared" ref="B3:B13" ca="1" si="0">RANDBETWEEN(100,200)*200</f>
        <v>39200</v>
      </c>
      <c r="C3" s="2">
        <v>5000</v>
      </c>
      <c r="D3" s="2">
        <f t="shared" ref="D3:D66" ca="1" si="1">0.35*B3</f>
        <v>13720</v>
      </c>
      <c r="E3" s="2">
        <f t="shared" ref="E3:E66" si="2">+C3/2.75</f>
        <v>1818.1818181818182</v>
      </c>
      <c r="F3" s="3"/>
    </row>
    <row r="4" spans="1:6" x14ac:dyDescent="0.25">
      <c r="A4" s="1">
        <v>43891</v>
      </c>
      <c r="B4" s="2">
        <f t="shared" ca="1" si="0"/>
        <v>21600</v>
      </c>
      <c r="C4" s="2">
        <v>5000</v>
      </c>
      <c r="D4" s="2">
        <f t="shared" ca="1" si="1"/>
        <v>7559.9999999999991</v>
      </c>
      <c r="E4" s="2">
        <f t="shared" si="2"/>
        <v>1818.1818181818182</v>
      </c>
      <c r="F4" s="3"/>
    </row>
    <row r="5" spans="1:6" x14ac:dyDescent="0.25">
      <c r="A5" s="1">
        <v>43922</v>
      </c>
      <c r="B5" s="2">
        <f t="shared" ca="1" si="0"/>
        <v>28000</v>
      </c>
      <c r="C5" s="2">
        <v>5000</v>
      </c>
      <c r="D5" s="2">
        <f t="shared" ca="1" si="1"/>
        <v>9800</v>
      </c>
      <c r="E5" s="2">
        <f t="shared" si="2"/>
        <v>1818.1818181818182</v>
      </c>
      <c r="F5" s="3"/>
    </row>
    <row r="6" spans="1:6" x14ac:dyDescent="0.25">
      <c r="A6" s="1">
        <v>43952</v>
      </c>
      <c r="B6" s="2">
        <f t="shared" ca="1" si="0"/>
        <v>31600</v>
      </c>
      <c r="C6" s="2">
        <v>5000</v>
      </c>
      <c r="D6" s="2">
        <f t="shared" ca="1" si="1"/>
        <v>11060</v>
      </c>
      <c r="E6" s="2">
        <f t="shared" si="2"/>
        <v>1818.1818181818182</v>
      </c>
      <c r="F6" s="3"/>
    </row>
    <row r="7" spans="1:6" x14ac:dyDescent="0.25">
      <c r="A7" s="1">
        <v>43983</v>
      </c>
      <c r="B7" s="2">
        <f t="shared" ca="1" si="0"/>
        <v>33800</v>
      </c>
      <c r="C7" s="2">
        <v>5000</v>
      </c>
      <c r="D7" s="2">
        <f t="shared" ca="1" si="1"/>
        <v>11830</v>
      </c>
      <c r="E7" s="2">
        <f t="shared" si="2"/>
        <v>1818.1818181818182</v>
      </c>
      <c r="F7" s="3"/>
    </row>
    <row r="8" spans="1:6" x14ac:dyDescent="0.25">
      <c r="A8" s="1">
        <v>44013</v>
      </c>
      <c r="B8" s="2">
        <f t="shared" ca="1" si="0"/>
        <v>32800</v>
      </c>
      <c r="C8" s="2">
        <v>5000</v>
      </c>
      <c r="D8" s="2">
        <f t="shared" ca="1" si="1"/>
        <v>11480</v>
      </c>
      <c r="E8" s="2">
        <f t="shared" si="2"/>
        <v>1818.1818181818182</v>
      </c>
      <c r="F8" s="3"/>
    </row>
    <row r="9" spans="1:6" x14ac:dyDescent="0.25">
      <c r="A9" s="1">
        <v>44044</v>
      </c>
      <c r="B9" s="2">
        <f t="shared" ca="1" si="0"/>
        <v>38200</v>
      </c>
      <c r="C9" s="2">
        <v>5000</v>
      </c>
      <c r="D9" s="2">
        <f t="shared" ca="1" si="1"/>
        <v>13370</v>
      </c>
      <c r="E9" s="2">
        <f t="shared" si="2"/>
        <v>1818.1818181818182</v>
      </c>
      <c r="F9" s="3"/>
    </row>
    <row r="10" spans="1:6" x14ac:dyDescent="0.25">
      <c r="A10" s="1">
        <v>44075</v>
      </c>
      <c r="B10" s="2">
        <f t="shared" ca="1" si="0"/>
        <v>27200</v>
      </c>
      <c r="C10" s="2">
        <v>5000</v>
      </c>
      <c r="D10" s="2">
        <f t="shared" ca="1" si="1"/>
        <v>9520</v>
      </c>
      <c r="E10" s="2">
        <f t="shared" si="2"/>
        <v>1818.1818181818182</v>
      </c>
      <c r="F10" s="3"/>
    </row>
    <row r="11" spans="1:6" x14ac:dyDescent="0.25">
      <c r="A11" s="1">
        <v>44105</v>
      </c>
      <c r="B11" s="2">
        <f t="shared" ca="1" si="0"/>
        <v>21800</v>
      </c>
      <c r="C11" s="2">
        <v>5000</v>
      </c>
      <c r="D11" s="2">
        <f t="shared" ca="1" si="1"/>
        <v>7629.9999999999991</v>
      </c>
      <c r="E11" s="2">
        <f t="shared" si="2"/>
        <v>1818.1818181818182</v>
      </c>
      <c r="F11" s="3"/>
    </row>
    <row r="12" spans="1:6" x14ac:dyDescent="0.25">
      <c r="A12" s="1">
        <v>44136</v>
      </c>
      <c r="B12" s="2">
        <f t="shared" ca="1" si="0"/>
        <v>40000</v>
      </c>
      <c r="C12" s="2">
        <v>5000</v>
      </c>
      <c r="D12" s="2">
        <f t="shared" ca="1" si="1"/>
        <v>14000</v>
      </c>
      <c r="E12" s="2">
        <f t="shared" si="2"/>
        <v>1818.1818181818182</v>
      </c>
      <c r="F12" s="3"/>
    </row>
    <row r="13" spans="1:6" x14ac:dyDescent="0.25">
      <c r="A13" s="1">
        <v>44166</v>
      </c>
      <c r="B13" s="2">
        <f t="shared" ca="1" si="0"/>
        <v>21800</v>
      </c>
      <c r="C13" s="2">
        <v>5000</v>
      </c>
      <c r="D13" s="2">
        <f t="shared" ca="1" si="1"/>
        <v>7629.9999999999991</v>
      </c>
      <c r="E13" s="2">
        <f t="shared" si="2"/>
        <v>1818.1818181818182</v>
      </c>
      <c r="F13" s="3"/>
    </row>
    <row r="14" spans="1:6" x14ac:dyDescent="0.25">
      <c r="A14" s="1">
        <v>44197</v>
      </c>
      <c r="B14" s="2">
        <f ca="1">+B2*1.046</f>
        <v>30752.400000000001</v>
      </c>
      <c r="C14" s="2">
        <f>+C13*1.1</f>
        <v>5500</v>
      </c>
      <c r="D14" s="2">
        <f t="shared" ca="1" si="1"/>
        <v>10763.34</v>
      </c>
      <c r="E14" s="2">
        <f t="shared" si="2"/>
        <v>2000</v>
      </c>
      <c r="F14" s="3"/>
    </row>
    <row r="15" spans="1:6" x14ac:dyDescent="0.25">
      <c r="A15" s="1">
        <v>44228</v>
      </c>
      <c r="B15" s="2">
        <f t="shared" ref="B15:B78" ca="1" si="3">+B3*1.046</f>
        <v>41003.200000000004</v>
      </c>
      <c r="C15" s="2">
        <f>+C14</f>
        <v>5500</v>
      </c>
      <c r="D15" s="2">
        <f t="shared" ca="1" si="1"/>
        <v>14351.12</v>
      </c>
      <c r="E15" s="2">
        <f t="shared" si="2"/>
        <v>2000</v>
      </c>
      <c r="F15" s="3"/>
    </row>
    <row r="16" spans="1:6" x14ac:dyDescent="0.25">
      <c r="A16" s="1">
        <v>44256</v>
      </c>
      <c r="B16" s="2">
        <f t="shared" ca="1" si="3"/>
        <v>22593.600000000002</v>
      </c>
      <c r="C16" s="2">
        <f t="shared" ref="C16:C25" si="4">+C15</f>
        <v>5500</v>
      </c>
      <c r="D16" s="2">
        <f t="shared" ca="1" si="1"/>
        <v>7907.76</v>
      </c>
      <c r="E16" s="2">
        <f t="shared" si="2"/>
        <v>2000</v>
      </c>
      <c r="F16" s="3"/>
    </row>
    <row r="17" spans="1:6" x14ac:dyDescent="0.25">
      <c r="A17" s="1">
        <v>44287</v>
      </c>
      <c r="B17" s="2">
        <f t="shared" ca="1" si="3"/>
        <v>29288</v>
      </c>
      <c r="C17" s="2">
        <f t="shared" si="4"/>
        <v>5500</v>
      </c>
      <c r="D17" s="2">
        <f t="shared" ca="1" si="1"/>
        <v>10250.799999999999</v>
      </c>
      <c r="E17" s="2">
        <f t="shared" si="2"/>
        <v>2000</v>
      </c>
      <c r="F17" s="3"/>
    </row>
    <row r="18" spans="1:6" x14ac:dyDescent="0.25">
      <c r="A18" s="1">
        <v>44317</v>
      </c>
      <c r="B18" s="2">
        <f t="shared" ca="1" si="3"/>
        <v>33053.599999999999</v>
      </c>
      <c r="C18" s="2">
        <f t="shared" si="4"/>
        <v>5500</v>
      </c>
      <c r="D18" s="2">
        <f t="shared" ca="1" si="1"/>
        <v>11568.759999999998</v>
      </c>
      <c r="E18" s="2">
        <f t="shared" si="2"/>
        <v>2000</v>
      </c>
      <c r="F18" s="3"/>
    </row>
    <row r="19" spans="1:6" x14ac:dyDescent="0.25">
      <c r="A19" s="1">
        <v>44348</v>
      </c>
      <c r="B19" s="2">
        <f t="shared" ca="1" si="3"/>
        <v>35354.800000000003</v>
      </c>
      <c r="C19" s="2">
        <f t="shared" si="4"/>
        <v>5500</v>
      </c>
      <c r="D19" s="2">
        <f t="shared" ca="1" si="1"/>
        <v>12374.18</v>
      </c>
      <c r="E19" s="2">
        <f t="shared" si="2"/>
        <v>2000</v>
      </c>
      <c r="F19" s="3"/>
    </row>
    <row r="20" spans="1:6" x14ac:dyDescent="0.25">
      <c r="A20" s="1">
        <v>44378</v>
      </c>
      <c r="B20" s="2">
        <f t="shared" ca="1" si="3"/>
        <v>34308.800000000003</v>
      </c>
      <c r="C20" s="2">
        <f t="shared" si="4"/>
        <v>5500</v>
      </c>
      <c r="D20" s="2">
        <f t="shared" ca="1" si="1"/>
        <v>12008.08</v>
      </c>
      <c r="E20" s="2">
        <f t="shared" si="2"/>
        <v>2000</v>
      </c>
      <c r="F20" s="3"/>
    </row>
    <row r="21" spans="1:6" x14ac:dyDescent="0.25">
      <c r="A21" s="1">
        <v>44409</v>
      </c>
      <c r="B21" s="2">
        <f t="shared" ca="1" si="3"/>
        <v>39957.200000000004</v>
      </c>
      <c r="C21" s="2">
        <f t="shared" si="4"/>
        <v>5500</v>
      </c>
      <c r="D21" s="2">
        <f t="shared" ca="1" si="1"/>
        <v>13985.02</v>
      </c>
      <c r="E21" s="2">
        <f t="shared" si="2"/>
        <v>2000</v>
      </c>
      <c r="F21" s="3"/>
    </row>
    <row r="22" spans="1:6" x14ac:dyDescent="0.25">
      <c r="A22" s="1">
        <v>44440</v>
      </c>
      <c r="B22" s="2">
        <f t="shared" ca="1" si="3"/>
        <v>28451.200000000001</v>
      </c>
      <c r="C22" s="2">
        <f t="shared" si="4"/>
        <v>5500</v>
      </c>
      <c r="D22" s="2">
        <f t="shared" ca="1" si="1"/>
        <v>9957.92</v>
      </c>
      <c r="E22" s="2">
        <f t="shared" si="2"/>
        <v>2000</v>
      </c>
      <c r="F22" s="3"/>
    </row>
    <row r="23" spans="1:6" x14ac:dyDescent="0.25">
      <c r="A23" s="1">
        <v>44470</v>
      </c>
      <c r="B23" s="2">
        <f t="shared" ca="1" si="3"/>
        <v>22802.799999999999</v>
      </c>
      <c r="C23" s="2">
        <f t="shared" si="4"/>
        <v>5500</v>
      </c>
      <c r="D23" s="2">
        <f t="shared" ca="1" si="1"/>
        <v>7980.98</v>
      </c>
      <c r="E23" s="2">
        <f t="shared" si="2"/>
        <v>2000</v>
      </c>
      <c r="F23" s="3"/>
    </row>
    <row r="24" spans="1:6" x14ac:dyDescent="0.25">
      <c r="A24" s="1">
        <v>44501</v>
      </c>
      <c r="B24" s="2">
        <f t="shared" ca="1" si="3"/>
        <v>41840</v>
      </c>
      <c r="C24" s="2">
        <f t="shared" si="4"/>
        <v>5500</v>
      </c>
      <c r="D24" s="2">
        <f t="shared" ca="1" si="1"/>
        <v>14643.999999999998</v>
      </c>
      <c r="E24" s="2">
        <f t="shared" si="2"/>
        <v>2000</v>
      </c>
      <c r="F24" s="3"/>
    </row>
    <row r="25" spans="1:6" x14ac:dyDescent="0.25">
      <c r="A25" s="1">
        <v>44531</v>
      </c>
      <c r="B25" s="2">
        <f t="shared" ca="1" si="3"/>
        <v>22802.799999999999</v>
      </c>
      <c r="C25" s="2">
        <f t="shared" si="4"/>
        <v>5500</v>
      </c>
      <c r="D25" s="2">
        <f t="shared" ca="1" si="1"/>
        <v>7980.98</v>
      </c>
      <c r="E25" s="2">
        <f t="shared" si="2"/>
        <v>2000</v>
      </c>
      <c r="F25" s="3"/>
    </row>
    <row r="26" spans="1:6" x14ac:dyDescent="0.25">
      <c r="A26" s="1">
        <v>44562</v>
      </c>
      <c r="B26" s="2">
        <f t="shared" ca="1" si="3"/>
        <v>32167.010400000003</v>
      </c>
      <c r="C26" s="2">
        <f>+C25*1.1</f>
        <v>6050.0000000000009</v>
      </c>
      <c r="D26" s="2">
        <f t="shared" ca="1" si="1"/>
        <v>11258.45364</v>
      </c>
      <c r="E26" s="2">
        <f t="shared" si="2"/>
        <v>2200.0000000000005</v>
      </c>
      <c r="F26" s="3"/>
    </row>
    <row r="27" spans="1:6" x14ac:dyDescent="0.25">
      <c r="A27" s="1">
        <v>44593</v>
      </c>
      <c r="B27" s="2">
        <f t="shared" ca="1" si="3"/>
        <v>42889.347200000004</v>
      </c>
      <c r="C27" s="2">
        <f>+C26</f>
        <v>6050.0000000000009</v>
      </c>
      <c r="D27" s="2">
        <f t="shared" ca="1" si="1"/>
        <v>15011.27152</v>
      </c>
      <c r="E27" s="2">
        <f t="shared" si="2"/>
        <v>2200.0000000000005</v>
      </c>
      <c r="F27" s="3"/>
    </row>
    <row r="28" spans="1:6" x14ac:dyDescent="0.25">
      <c r="A28" s="1">
        <v>44621</v>
      </c>
      <c r="B28" s="2">
        <f t="shared" ca="1" si="3"/>
        <v>23632.905600000002</v>
      </c>
      <c r="C28" s="2">
        <f t="shared" ref="C28:C37" si="5">+C27</f>
        <v>6050.0000000000009</v>
      </c>
      <c r="D28" s="2">
        <f t="shared" ca="1" si="1"/>
        <v>8271.5169600000008</v>
      </c>
      <c r="E28" s="2">
        <f t="shared" si="2"/>
        <v>2200.0000000000005</v>
      </c>
      <c r="F28" s="3"/>
    </row>
    <row r="29" spans="1:6" x14ac:dyDescent="0.25">
      <c r="A29" s="1">
        <v>44652</v>
      </c>
      <c r="B29" s="2">
        <f t="shared" ca="1" si="3"/>
        <v>30635.248</v>
      </c>
      <c r="C29" s="2">
        <f t="shared" si="5"/>
        <v>6050.0000000000009</v>
      </c>
      <c r="D29" s="2">
        <f t="shared" ca="1" si="1"/>
        <v>10722.336799999999</v>
      </c>
      <c r="E29" s="2">
        <f t="shared" si="2"/>
        <v>2200.0000000000005</v>
      </c>
      <c r="F29" s="3"/>
    </row>
    <row r="30" spans="1:6" x14ac:dyDescent="0.25">
      <c r="A30" s="1">
        <v>44682</v>
      </c>
      <c r="B30" s="2">
        <f t="shared" ca="1" si="3"/>
        <v>34574.065600000002</v>
      </c>
      <c r="C30" s="2">
        <f t="shared" si="5"/>
        <v>6050.0000000000009</v>
      </c>
      <c r="D30" s="2">
        <f t="shared" ca="1" si="1"/>
        <v>12100.92296</v>
      </c>
      <c r="E30" s="2">
        <f t="shared" si="2"/>
        <v>2200.0000000000005</v>
      </c>
      <c r="F30" s="3"/>
    </row>
    <row r="31" spans="1:6" x14ac:dyDescent="0.25">
      <c r="A31" s="1">
        <v>44713</v>
      </c>
      <c r="B31" s="2">
        <f t="shared" ca="1" si="3"/>
        <v>36981.120800000004</v>
      </c>
      <c r="C31" s="2">
        <f t="shared" si="5"/>
        <v>6050.0000000000009</v>
      </c>
      <c r="D31" s="2">
        <f t="shared" ca="1" si="1"/>
        <v>12943.39228</v>
      </c>
      <c r="E31" s="2">
        <f t="shared" si="2"/>
        <v>2200.0000000000005</v>
      </c>
      <c r="F31" s="3"/>
    </row>
    <row r="32" spans="1:6" x14ac:dyDescent="0.25">
      <c r="A32" s="1">
        <v>44743</v>
      </c>
      <c r="B32" s="2">
        <f t="shared" ca="1" si="3"/>
        <v>35887.004800000002</v>
      </c>
      <c r="C32" s="2">
        <f t="shared" si="5"/>
        <v>6050.0000000000009</v>
      </c>
      <c r="D32" s="2">
        <f t="shared" ca="1" si="1"/>
        <v>12560.45168</v>
      </c>
      <c r="E32" s="2">
        <f t="shared" si="2"/>
        <v>2200.0000000000005</v>
      </c>
      <c r="F32" s="3"/>
    </row>
    <row r="33" spans="1:6" x14ac:dyDescent="0.25">
      <c r="A33" s="1">
        <v>44774</v>
      </c>
      <c r="B33" s="2">
        <f t="shared" ca="1" si="3"/>
        <v>41795.231200000009</v>
      </c>
      <c r="C33" s="2">
        <f t="shared" si="5"/>
        <v>6050.0000000000009</v>
      </c>
      <c r="D33" s="2">
        <f t="shared" ca="1" si="1"/>
        <v>14628.330920000002</v>
      </c>
      <c r="E33" s="2">
        <f t="shared" si="2"/>
        <v>2200.0000000000005</v>
      </c>
      <c r="F33" s="3"/>
    </row>
    <row r="34" spans="1:6" x14ac:dyDescent="0.25">
      <c r="A34" s="1">
        <v>44805</v>
      </c>
      <c r="B34" s="2">
        <f t="shared" ca="1" si="3"/>
        <v>29759.9552</v>
      </c>
      <c r="C34" s="2">
        <f t="shared" si="5"/>
        <v>6050.0000000000009</v>
      </c>
      <c r="D34" s="2">
        <f t="shared" ca="1" si="1"/>
        <v>10415.98432</v>
      </c>
      <c r="E34" s="2">
        <f t="shared" si="2"/>
        <v>2200.0000000000005</v>
      </c>
      <c r="F34" s="3"/>
    </row>
    <row r="35" spans="1:6" x14ac:dyDescent="0.25">
      <c r="A35" s="1">
        <v>44835</v>
      </c>
      <c r="B35" s="2">
        <f t="shared" ca="1" si="3"/>
        <v>23851.728800000001</v>
      </c>
      <c r="C35" s="2">
        <f t="shared" si="5"/>
        <v>6050.0000000000009</v>
      </c>
      <c r="D35" s="2">
        <f t="shared" ca="1" si="1"/>
        <v>8348.1050799999994</v>
      </c>
      <c r="E35" s="2">
        <f t="shared" si="2"/>
        <v>2200.0000000000005</v>
      </c>
      <c r="F35" s="3"/>
    </row>
    <row r="36" spans="1:6" x14ac:dyDescent="0.25">
      <c r="A36" s="1">
        <v>44866</v>
      </c>
      <c r="B36" s="2">
        <f t="shared" ca="1" si="3"/>
        <v>43764.639999999999</v>
      </c>
      <c r="C36" s="2">
        <f t="shared" si="5"/>
        <v>6050.0000000000009</v>
      </c>
      <c r="D36" s="2">
        <f t="shared" ca="1" si="1"/>
        <v>15317.623999999998</v>
      </c>
      <c r="E36" s="2">
        <f t="shared" si="2"/>
        <v>2200.0000000000005</v>
      </c>
      <c r="F36" s="3"/>
    </row>
    <row r="37" spans="1:6" x14ac:dyDescent="0.25">
      <c r="A37" s="1">
        <v>44896</v>
      </c>
      <c r="B37" s="2">
        <f t="shared" ca="1" si="3"/>
        <v>23851.728800000001</v>
      </c>
      <c r="C37" s="2">
        <f t="shared" si="5"/>
        <v>6050.0000000000009</v>
      </c>
      <c r="D37" s="2">
        <f t="shared" ca="1" si="1"/>
        <v>8348.1050799999994</v>
      </c>
      <c r="E37" s="2">
        <f t="shared" si="2"/>
        <v>2200.0000000000005</v>
      </c>
      <c r="F37" s="3"/>
    </row>
    <row r="38" spans="1:6" x14ac:dyDescent="0.25">
      <c r="A38" s="1">
        <v>44927</v>
      </c>
      <c r="B38" s="2">
        <f t="shared" ca="1" si="3"/>
        <v>33646.692878400005</v>
      </c>
      <c r="C38" s="2">
        <f t="shared" ref="C38:C69" si="6">+C37*1.1</f>
        <v>6655.0000000000018</v>
      </c>
      <c r="D38" s="2">
        <f t="shared" ca="1" si="1"/>
        <v>11776.34250744</v>
      </c>
      <c r="E38" s="2">
        <f t="shared" si="2"/>
        <v>2420.0000000000005</v>
      </c>
      <c r="F38" s="3"/>
    </row>
    <row r="39" spans="1:6" x14ac:dyDescent="0.25">
      <c r="A39" s="1">
        <v>44958</v>
      </c>
      <c r="B39" s="2">
        <f t="shared" ca="1" si="3"/>
        <v>44862.257171200006</v>
      </c>
      <c r="C39" s="2">
        <f t="shared" ref="C39:C102" si="7">+C38</f>
        <v>6655.0000000000018</v>
      </c>
      <c r="D39" s="2">
        <f t="shared" ca="1" si="1"/>
        <v>15701.790009920001</v>
      </c>
      <c r="E39" s="2">
        <f t="shared" si="2"/>
        <v>2420.0000000000005</v>
      </c>
      <c r="F39" s="3"/>
    </row>
    <row r="40" spans="1:6" x14ac:dyDescent="0.25">
      <c r="A40" s="1">
        <v>44986</v>
      </c>
      <c r="B40" s="2">
        <f t="shared" ca="1" si="3"/>
        <v>24720.019257600004</v>
      </c>
      <c r="C40" s="2">
        <f t="shared" si="7"/>
        <v>6655.0000000000018</v>
      </c>
      <c r="D40" s="2">
        <f t="shared" ca="1" si="1"/>
        <v>8652.0067401600008</v>
      </c>
      <c r="E40" s="2">
        <f t="shared" si="2"/>
        <v>2420.0000000000005</v>
      </c>
      <c r="F40" s="3"/>
    </row>
    <row r="41" spans="1:6" x14ac:dyDescent="0.25">
      <c r="A41" s="1">
        <v>45017</v>
      </c>
      <c r="B41" s="2">
        <f t="shared" ca="1" si="3"/>
        <v>32044.469408000001</v>
      </c>
      <c r="C41" s="2">
        <f t="shared" si="7"/>
        <v>6655.0000000000018</v>
      </c>
      <c r="D41" s="2">
        <f t="shared" ca="1" si="1"/>
        <v>11215.5642928</v>
      </c>
      <c r="E41" s="2">
        <f t="shared" si="2"/>
        <v>2420.0000000000005</v>
      </c>
      <c r="F41" s="3"/>
    </row>
    <row r="42" spans="1:6" x14ac:dyDescent="0.25">
      <c r="A42" s="1">
        <v>45047</v>
      </c>
      <c r="B42" s="2">
        <f t="shared" ca="1" si="3"/>
        <v>36164.472617600004</v>
      </c>
      <c r="C42" s="2">
        <f t="shared" si="7"/>
        <v>6655.0000000000018</v>
      </c>
      <c r="D42" s="2">
        <f t="shared" ca="1" si="1"/>
        <v>12657.565416160001</v>
      </c>
      <c r="E42" s="2">
        <f t="shared" si="2"/>
        <v>2420.0000000000005</v>
      </c>
      <c r="F42" s="3"/>
    </row>
    <row r="43" spans="1:6" x14ac:dyDescent="0.25">
      <c r="A43" s="1">
        <v>45078</v>
      </c>
      <c r="B43" s="2">
        <f t="shared" ca="1" si="3"/>
        <v>38682.252356800003</v>
      </c>
      <c r="C43" s="2">
        <f t="shared" si="7"/>
        <v>6655.0000000000018</v>
      </c>
      <c r="D43" s="2">
        <f t="shared" ca="1" si="1"/>
        <v>13538.788324880001</v>
      </c>
      <c r="E43" s="2">
        <f t="shared" si="2"/>
        <v>2420.0000000000005</v>
      </c>
      <c r="F43" s="3"/>
    </row>
    <row r="44" spans="1:6" x14ac:dyDescent="0.25">
      <c r="A44" s="1">
        <v>45108</v>
      </c>
      <c r="B44" s="2">
        <f t="shared" ca="1" si="3"/>
        <v>37537.807020800006</v>
      </c>
      <c r="C44" s="2">
        <f t="shared" si="7"/>
        <v>6655.0000000000018</v>
      </c>
      <c r="D44" s="2">
        <f t="shared" ca="1" si="1"/>
        <v>13138.232457280001</v>
      </c>
      <c r="E44" s="2">
        <f t="shared" si="2"/>
        <v>2420.0000000000005</v>
      </c>
      <c r="F44" s="3"/>
    </row>
    <row r="45" spans="1:6" x14ac:dyDescent="0.25">
      <c r="A45" s="1">
        <v>45139</v>
      </c>
      <c r="B45" s="2">
        <f t="shared" ca="1" si="3"/>
        <v>43717.811835200009</v>
      </c>
      <c r="C45" s="2">
        <f t="shared" si="7"/>
        <v>6655.0000000000018</v>
      </c>
      <c r="D45" s="2">
        <f t="shared" ca="1" si="1"/>
        <v>15301.234142320001</v>
      </c>
      <c r="E45" s="2">
        <f t="shared" si="2"/>
        <v>2420.0000000000005</v>
      </c>
      <c r="F45" s="3"/>
    </row>
    <row r="46" spans="1:6" x14ac:dyDescent="0.25">
      <c r="A46" s="1">
        <v>45170</v>
      </c>
      <c r="B46" s="2">
        <f t="shared" ca="1" si="3"/>
        <v>31128.913139200002</v>
      </c>
      <c r="C46" s="2">
        <f t="shared" si="7"/>
        <v>6655.0000000000018</v>
      </c>
      <c r="D46" s="2">
        <f t="shared" ca="1" si="1"/>
        <v>10895.119598720001</v>
      </c>
      <c r="E46" s="2">
        <f t="shared" si="2"/>
        <v>2420.0000000000005</v>
      </c>
      <c r="F46" s="3"/>
    </row>
    <row r="47" spans="1:6" x14ac:dyDescent="0.25">
      <c r="A47" s="1">
        <v>45200</v>
      </c>
      <c r="B47" s="2">
        <f t="shared" ca="1" si="3"/>
        <v>24948.908324800002</v>
      </c>
      <c r="C47" s="2">
        <f t="shared" si="7"/>
        <v>6655.0000000000018</v>
      </c>
      <c r="D47" s="2">
        <f t="shared" ca="1" si="1"/>
        <v>8732.1179136800001</v>
      </c>
      <c r="E47" s="2">
        <f t="shared" si="2"/>
        <v>2420.0000000000005</v>
      </c>
      <c r="F47" s="3"/>
    </row>
    <row r="48" spans="1:6" x14ac:dyDescent="0.25">
      <c r="A48" s="1">
        <v>45231</v>
      </c>
      <c r="B48" s="2">
        <f t="shared" ca="1" si="3"/>
        <v>45777.813439999998</v>
      </c>
      <c r="C48" s="2">
        <f t="shared" si="7"/>
        <v>6655.0000000000018</v>
      </c>
      <c r="D48" s="2">
        <f t="shared" ca="1" si="1"/>
        <v>16022.234703999999</v>
      </c>
      <c r="E48" s="2">
        <f t="shared" si="2"/>
        <v>2420.0000000000005</v>
      </c>
      <c r="F48" s="3"/>
    </row>
    <row r="49" spans="1:6" x14ac:dyDescent="0.25">
      <c r="A49" s="1">
        <v>45261</v>
      </c>
      <c r="B49" s="2">
        <f t="shared" ca="1" si="3"/>
        <v>24948.908324800002</v>
      </c>
      <c r="C49" s="2">
        <f t="shared" si="7"/>
        <v>6655.0000000000018</v>
      </c>
      <c r="D49" s="2">
        <f t="shared" ca="1" si="1"/>
        <v>8732.1179136800001</v>
      </c>
      <c r="E49" s="2">
        <f t="shared" si="2"/>
        <v>2420.0000000000005</v>
      </c>
      <c r="F49" s="3"/>
    </row>
    <row r="50" spans="1:6" x14ac:dyDescent="0.25">
      <c r="A50" s="1">
        <v>45292</v>
      </c>
      <c r="B50" s="2">
        <f t="shared" ca="1" si="3"/>
        <v>35194.440750806403</v>
      </c>
      <c r="C50" s="2">
        <f t="shared" ref="C50:C81" si="8">+C49*1.1</f>
        <v>7320.5000000000027</v>
      </c>
      <c r="D50" s="2">
        <f t="shared" ca="1" si="1"/>
        <v>12318.05426278224</v>
      </c>
      <c r="E50" s="2">
        <f t="shared" si="2"/>
        <v>2662.0000000000009</v>
      </c>
      <c r="F50" s="3"/>
    </row>
    <row r="51" spans="1:6" x14ac:dyDescent="0.25">
      <c r="A51" s="1">
        <v>45323</v>
      </c>
      <c r="B51" s="2">
        <f t="shared" ca="1" si="3"/>
        <v>46925.921001075207</v>
      </c>
      <c r="C51" s="2">
        <f t="shared" ref="C51:C82" si="9">+C50</f>
        <v>7320.5000000000027</v>
      </c>
      <c r="D51" s="2">
        <f t="shared" ca="1" si="1"/>
        <v>16424.072350376322</v>
      </c>
      <c r="E51" s="2">
        <f t="shared" si="2"/>
        <v>2662.0000000000009</v>
      </c>
      <c r="F51" s="3"/>
    </row>
    <row r="52" spans="1:6" x14ac:dyDescent="0.25">
      <c r="A52" s="1">
        <v>45352</v>
      </c>
      <c r="B52" s="2">
        <f t="shared" ca="1" si="3"/>
        <v>25857.140143449607</v>
      </c>
      <c r="C52" s="2">
        <f t="shared" si="7"/>
        <v>7320.5000000000027</v>
      </c>
      <c r="D52" s="2">
        <f t="shared" ca="1" si="1"/>
        <v>9049.9990502073615</v>
      </c>
      <c r="E52" s="2">
        <f t="shared" si="2"/>
        <v>2662.0000000000009</v>
      </c>
      <c r="F52" s="3"/>
    </row>
    <row r="53" spans="1:6" x14ac:dyDescent="0.25">
      <c r="A53" s="1">
        <v>45383</v>
      </c>
      <c r="B53" s="2">
        <f t="shared" ca="1" si="3"/>
        <v>33518.515000767999</v>
      </c>
      <c r="C53" s="2">
        <f t="shared" si="7"/>
        <v>7320.5000000000027</v>
      </c>
      <c r="D53" s="2">
        <f t="shared" ca="1" si="1"/>
        <v>11731.480250268798</v>
      </c>
      <c r="E53" s="2">
        <f t="shared" si="2"/>
        <v>2662.0000000000009</v>
      </c>
      <c r="F53" s="3"/>
    </row>
    <row r="54" spans="1:6" x14ac:dyDescent="0.25">
      <c r="A54" s="1">
        <v>45413</v>
      </c>
      <c r="B54" s="2">
        <f t="shared" ca="1" si="3"/>
        <v>37828.038358009602</v>
      </c>
      <c r="C54" s="2">
        <f t="shared" si="7"/>
        <v>7320.5000000000027</v>
      </c>
      <c r="D54" s="2">
        <f t="shared" ca="1" si="1"/>
        <v>13239.81342530336</v>
      </c>
      <c r="E54" s="2">
        <f t="shared" si="2"/>
        <v>2662.0000000000009</v>
      </c>
      <c r="F54" s="3"/>
    </row>
    <row r="55" spans="1:6" x14ac:dyDescent="0.25">
      <c r="A55" s="1">
        <v>45444</v>
      </c>
      <c r="B55" s="2">
        <f t="shared" ca="1" si="3"/>
        <v>40461.635965212809</v>
      </c>
      <c r="C55" s="2">
        <f t="shared" si="7"/>
        <v>7320.5000000000027</v>
      </c>
      <c r="D55" s="2">
        <f t="shared" ca="1" si="1"/>
        <v>14161.572587824483</v>
      </c>
      <c r="E55" s="2">
        <f t="shared" si="2"/>
        <v>2662.0000000000009</v>
      </c>
      <c r="F55" s="3"/>
    </row>
    <row r="56" spans="1:6" x14ac:dyDescent="0.25">
      <c r="A56" s="1">
        <v>45474</v>
      </c>
      <c r="B56" s="2">
        <f t="shared" ca="1" si="3"/>
        <v>39264.546143756808</v>
      </c>
      <c r="C56" s="2">
        <f t="shared" si="7"/>
        <v>7320.5000000000027</v>
      </c>
      <c r="D56" s="2">
        <f t="shared" ca="1" si="1"/>
        <v>13742.591150314882</v>
      </c>
      <c r="E56" s="2">
        <f t="shared" si="2"/>
        <v>2662.0000000000009</v>
      </c>
      <c r="F56" s="3"/>
    </row>
    <row r="57" spans="1:6" x14ac:dyDescent="0.25">
      <c r="A57" s="1">
        <v>45505</v>
      </c>
      <c r="B57" s="2">
        <f t="shared" ca="1" si="3"/>
        <v>45728.831179619214</v>
      </c>
      <c r="C57" s="2">
        <f t="shared" si="7"/>
        <v>7320.5000000000027</v>
      </c>
      <c r="D57" s="2">
        <f t="shared" ca="1" si="1"/>
        <v>16005.090912866724</v>
      </c>
      <c r="E57" s="2">
        <f t="shared" si="2"/>
        <v>2662.0000000000009</v>
      </c>
      <c r="F57" s="3"/>
    </row>
    <row r="58" spans="1:6" x14ac:dyDescent="0.25">
      <c r="A58" s="1">
        <v>45536</v>
      </c>
      <c r="B58" s="2">
        <f t="shared" ca="1" si="3"/>
        <v>32560.843143603204</v>
      </c>
      <c r="C58" s="2">
        <f t="shared" si="7"/>
        <v>7320.5000000000027</v>
      </c>
      <c r="D58" s="2">
        <f t="shared" ca="1" si="1"/>
        <v>11396.295100261121</v>
      </c>
      <c r="E58" s="2">
        <f t="shared" si="2"/>
        <v>2662.0000000000009</v>
      </c>
      <c r="F58" s="3"/>
    </row>
    <row r="59" spans="1:6" x14ac:dyDescent="0.25">
      <c r="A59" s="1">
        <v>45566</v>
      </c>
      <c r="B59" s="2">
        <f t="shared" ca="1" si="3"/>
        <v>26096.558107740802</v>
      </c>
      <c r="C59" s="2">
        <f t="shared" si="7"/>
        <v>7320.5000000000027</v>
      </c>
      <c r="D59" s="2">
        <f t="shared" ca="1" si="1"/>
        <v>9133.7953377092799</v>
      </c>
      <c r="E59" s="2">
        <f t="shared" si="2"/>
        <v>2662.0000000000009</v>
      </c>
      <c r="F59" s="3"/>
    </row>
    <row r="60" spans="1:6" x14ac:dyDescent="0.25">
      <c r="A60" s="1">
        <v>45597</v>
      </c>
      <c r="B60" s="2">
        <f t="shared" ca="1" si="3"/>
        <v>47883.592858240001</v>
      </c>
      <c r="C60" s="2">
        <f t="shared" si="7"/>
        <v>7320.5000000000027</v>
      </c>
      <c r="D60" s="2">
        <f t="shared" ca="1" si="1"/>
        <v>16759.257500383999</v>
      </c>
      <c r="E60" s="2">
        <f t="shared" si="2"/>
        <v>2662.0000000000009</v>
      </c>
      <c r="F60" s="3"/>
    </row>
    <row r="61" spans="1:6" x14ac:dyDescent="0.25">
      <c r="A61" s="1">
        <v>45627</v>
      </c>
      <c r="B61" s="2">
        <f t="shared" ca="1" si="3"/>
        <v>26096.558107740802</v>
      </c>
      <c r="C61" s="2">
        <f t="shared" si="7"/>
        <v>7320.5000000000027</v>
      </c>
      <c r="D61" s="2">
        <f t="shared" ca="1" si="1"/>
        <v>9133.7953377092799</v>
      </c>
      <c r="E61" s="2">
        <f t="shared" si="2"/>
        <v>2662.0000000000009</v>
      </c>
      <c r="F61" s="3"/>
    </row>
    <row r="62" spans="1:6" x14ac:dyDescent="0.25">
      <c r="A62" s="1">
        <v>45658</v>
      </c>
      <c r="B62" s="2">
        <f t="shared" ca="1" si="3"/>
        <v>36813.385025343501</v>
      </c>
      <c r="C62" s="2">
        <f t="shared" ref="C62:C93" si="10">+C61*1.1</f>
        <v>8052.5500000000038</v>
      </c>
      <c r="D62" s="2">
        <f t="shared" ca="1" si="1"/>
        <v>12884.684758870224</v>
      </c>
      <c r="E62" s="2">
        <f t="shared" si="2"/>
        <v>2928.2000000000012</v>
      </c>
      <c r="F62" s="3"/>
    </row>
    <row r="63" spans="1:6" x14ac:dyDescent="0.25">
      <c r="A63" s="1">
        <v>45689</v>
      </c>
      <c r="B63" s="2">
        <f t="shared" ca="1" si="3"/>
        <v>49084.513367124666</v>
      </c>
      <c r="C63" s="2">
        <f t="shared" ref="C63:C94" si="11">+C62</f>
        <v>8052.5500000000038</v>
      </c>
      <c r="D63" s="2">
        <f t="shared" ca="1" si="1"/>
        <v>17179.579678493632</v>
      </c>
      <c r="E63" s="2">
        <f t="shared" si="2"/>
        <v>2928.2000000000012</v>
      </c>
      <c r="F63" s="3"/>
    </row>
    <row r="64" spans="1:6" x14ac:dyDescent="0.25">
      <c r="A64" s="1">
        <v>45717</v>
      </c>
      <c r="B64" s="2">
        <f t="shared" ca="1" si="3"/>
        <v>27046.568590048289</v>
      </c>
      <c r="C64" s="2">
        <f t="shared" si="7"/>
        <v>8052.5500000000038</v>
      </c>
      <c r="D64" s="2">
        <f t="shared" ca="1" si="1"/>
        <v>9466.2990065169015</v>
      </c>
      <c r="E64" s="2">
        <f t="shared" si="2"/>
        <v>2928.2000000000012</v>
      </c>
      <c r="F64" s="3"/>
    </row>
    <row r="65" spans="1:6" x14ac:dyDescent="0.25">
      <c r="A65" s="1">
        <v>45748</v>
      </c>
      <c r="B65" s="2">
        <f t="shared" ca="1" si="3"/>
        <v>35060.366690803326</v>
      </c>
      <c r="C65" s="2">
        <f t="shared" si="7"/>
        <v>8052.5500000000038</v>
      </c>
      <c r="D65" s="2">
        <f t="shared" ca="1" si="1"/>
        <v>12271.128341781163</v>
      </c>
      <c r="E65" s="2">
        <f t="shared" si="2"/>
        <v>2928.2000000000012</v>
      </c>
      <c r="F65" s="3"/>
    </row>
    <row r="66" spans="1:6" x14ac:dyDescent="0.25">
      <c r="A66" s="1">
        <v>45778</v>
      </c>
      <c r="B66" s="2">
        <f t="shared" ca="1" si="3"/>
        <v>39568.128122478047</v>
      </c>
      <c r="C66" s="2">
        <f t="shared" si="7"/>
        <v>8052.5500000000038</v>
      </c>
      <c r="D66" s="2">
        <f t="shared" ca="1" si="1"/>
        <v>13848.844842867316</v>
      </c>
      <c r="E66" s="2">
        <f t="shared" si="2"/>
        <v>2928.2000000000012</v>
      </c>
      <c r="F66" s="3"/>
    </row>
    <row r="67" spans="1:6" x14ac:dyDescent="0.25">
      <c r="A67" s="1">
        <v>45809</v>
      </c>
      <c r="B67" s="2">
        <f t="shared" ca="1" si="3"/>
        <v>42322.8712196126</v>
      </c>
      <c r="C67" s="2">
        <f t="shared" si="7"/>
        <v>8052.5500000000038</v>
      </c>
      <c r="D67" s="2">
        <f t="shared" ref="D67:D121" ca="1" si="12">0.35*B67</f>
        <v>14813.004926864409</v>
      </c>
      <c r="E67" s="2">
        <f t="shared" ref="E67:E121" si="13">+C67/2.75</f>
        <v>2928.2000000000012</v>
      </c>
      <c r="F67" s="3"/>
    </row>
    <row r="68" spans="1:6" x14ac:dyDescent="0.25">
      <c r="A68" s="1">
        <v>45839</v>
      </c>
      <c r="B68" s="2">
        <f t="shared" ca="1" si="3"/>
        <v>41070.715266369625</v>
      </c>
      <c r="C68" s="2">
        <f t="shared" si="7"/>
        <v>8052.5500000000038</v>
      </c>
      <c r="D68" s="2">
        <f t="shared" ca="1" si="12"/>
        <v>14374.750343229367</v>
      </c>
      <c r="E68" s="2">
        <f t="shared" si="13"/>
        <v>2928.2000000000012</v>
      </c>
      <c r="F68" s="3"/>
    </row>
    <row r="69" spans="1:6" x14ac:dyDescent="0.25">
      <c r="A69" s="1">
        <v>45870</v>
      </c>
      <c r="B69" s="2">
        <f t="shared" ca="1" si="3"/>
        <v>47832.357413881698</v>
      </c>
      <c r="C69" s="2">
        <f t="shared" si="7"/>
        <v>8052.5500000000038</v>
      </c>
      <c r="D69" s="2">
        <f t="shared" ca="1" si="12"/>
        <v>16741.325094858592</v>
      </c>
      <c r="E69" s="2">
        <f t="shared" si="13"/>
        <v>2928.2000000000012</v>
      </c>
      <c r="F69" s="3"/>
    </row>
    <row r="70" spans="1:6" x14ac:dyDescent="0.25">
      <c r="A70" s="1">
        <v>45901</v>
      </c>
      <c r="B70" s="2">
        <f t="shared" ca="1" si="3"/>
        <v>34058.641928208956</v>
      </c>
      <c r="C70" s="2">
        <f t="shared" si="7"/>
        <v>8052.5500000000038</v>
      </c>
      <c r="D70" s="2">
        <f t="shared" ca="1" si="12"/>
        <v>11920.524674873133</v>
      </c>
      <c r="E70" s="2">
        <f t="shared" si="13"/>
        <v>2928.2000000000012</v>
      </c>
      <c r="F70" s="3"/>
    </row>
    <row r="71" spans="1:6" x14ac:dyDescent="0.25">
      <c r="A71" s="1">
        <v>45931</v>
      </c>
      <c r="B71" s="2">
        <f t="shared" ca="1" si="3"/>
        <v>27296.999780696879</v>
      </c>
      <c r="C71" s="2">
        <f t="shared" si="7"/>
        <v>8052.5500000000038</v>
      </c>
      <c r="D71" s="2">
        <f t="shared" ca="1" si="12"/>
        <v>9553.9499232439066</v>
      </c>
      <c r="E71" s="2">
        <f t="shared" si="13"/>
        <v>2928.2000000000012</v>
      </c>
      <c r="F71" s="3"/>
    </row>
    <row r="72" spans="1:6" x14ac:dyDescent="0.25">
      <c r="A72" s="1">
        <v>45962</v>
      </c>
      <c r="B72" s="2">
        <f t="shared" ca="1" si="3"/>
        <v>50086.238129719044</v>
      </c>
      <c r="C72" s="2">
        <f t="shared" si="7"/>
        <v>8052.5500000000038</v>
      </c>
      <c r="D72" s="2">
        <f t="shared" ca="1" si="12"/>
        <v>17530.183345401663</v>
      </c>
      <c r="E72" s="2">
        <f t="shared" si="13"/>
        <v>2928.2000000000012</v>
      </c>
      <c r="F72" s="3"/>
    </row>
    <row r="73" spans="1:6" x14ac:dyDescent="0.25">
      <c r="A73" s="1">
        <v>45992</v>
      </c>
      <c r="B73" s="2">
        <f t="shared" ca="1" si="3"/>
        <v>27296.999780696879</v>
      </c>
      <c r="C73" s="2">
        <f t="shared" si="7"/>
        <v>8052.5500000000038</v>
      </c>
      <c r="D73" s="2">
        <f t="shared" ca="1" si="12"/>
        <v>9553.9499232439066</v>
      </c>
      <c r="E73" s="2">
        <f t="shared" si="13"/>
        <v>2928.2000000000012</v>
      </c>
      <c r="F73" s="3"/>
    </row>
    <row r="74" spans="1:6" x14ac:dyDescent="0.25">
      <c r="A74" s="1">
        <v>46023</v>
      </c>
      <c r="B74" s="2">
        <f t="shared" ca="1" si="3"/>
        <v>38506.800736509307</v>
      </c>
      <c r="C74" s="2">
        <f t="shared" ref="C74:C121" si="14">+C73*1.1</f>
        <v>8857.8050000000057</v>
      </c>
      <c r="D74" s="2">
        <f t="shared" ca="1" si="12"/>
        <v>13477.380257778257</v>
      </c>
      <c r="E74" s="2">
        <f t="shared" si="13"/>
        <v>3221.0200000000023</v>
      </c>
      <c r="F74" s="3"/>
    </row>
    <row r="75" spans="1:6" x14ac:dyDescent="0.25">
      <c r="A75" s="1">
        <v>46054</v>
      </c>
      <c r="B75" s="2">
        <f t="shared" ca="1" si="3"/>
        <v>51342.400982012405</v>
      </c>
      <c r="C75" s="2">
        <f t="shared" ref="C75:C121" si="15">+C74</f>
        <v>8857.8050000000057</v>
      </c>
      <c r="D75" s="2">
        <f t="shared" ca="1" si="12"/>
        <v>17969.840343704342</v>
      </c>
      <c r="E75" s="2">
        <f t="shared" si="13"/>
        <v>3221.0200000000023</v>
      </c>
      <c r="F75" s="3"/>
    </row>
    <row r="76" spans="1:6" x14ac:dyDescent="0.25">
      <c r="A76" s="1">
        <v>46082</v>
      </c>
      <c r="B76" s="2">
        <f t="shared" ca="1" si="3"/>
        <v>28290.71074519051</v>
      </c>
      <c r="C76" s="2">
        <f t="shared" si="7"/>
        <v>8857.8050000000057</v>
      </c>
      <c r="D76" s="2">
        <f t="shared" ca="1" si="12"/>
        <v>9901.7487608166775</v>
      </c>
      <c r="E76" s="2">
        <f t="shared" si="13"/>
        <v>3221.0200000000023</v>
      </c>
      <c r="F76" s="3"/>
    </row>
    <row r="77" spans="1:6" x14ac:dyDescent="0.25">
      <c r="A77" s="1">
        <v>46113</v>
      </c>
      <c r="B77" s="2">
        <f t="shared" ca="1" si="3"/>
        <v>36673.143558580283</v>
      </c>
      <c r="C77" s="2">
        <f t="shared" si="7"/>
        <v>8857.8050000000057</v>
      </c>
      <c r="D77" s="2">
        <f t="shared" ca="1" si="12"/>
        <v>12835.600245503098</v>
      </c>
      <c r="E77" s="2">
        <f t="shared" si="13"/>
        <v>3221.0200000000023</v>
      </c>
      <c r="F77" s="3"/>
    </row>
    <row r="78" spans="1:6" x14ac:dyDescent="0.25">
      <c r="A78" s="1">
        <v>46143</v>
      </c>
      <c r="B78" s="2">
        <f t="shared" ca="1" si="3"/>
        <v>41388.262016112036</v>
      </c>
      <c r="C78" s="2">
        <f t="shared" si="7"/>
        <v>8857.8050000000057</v>
      </c>
      <c r="D78" s="2">
        <f t="shared" ca="1" si="12"/>
        <v>14485.891705639211</v>
      </c>
      <c r="E78" s="2">
        <f t="shared" si="13"/>
        <v>3221.0200000000023</v>
      </c>
      <c r="F78" s="3"/>
    </row>
    <row r="79" spans="1:6" x14ac:dyDescent="0.25">
      <c r="A79" s="1">
        <v>46174</v>
      </c>
      <c r="B79" s="2">
        <f t="shared" ref="B79:B121" ca="1" si="16">+B67*1.046</f>
        <v>44269.723295714779</v>
      </c>
      <c r="C79" s="2">
        <f t="shared" si="7"/>
        <v>8857.8050000000057</v>
      </c>
      <c r="D79" s="2">
        <f t="shared" ca="1" si="12"/>
        <v>15494.403153500172</v>
      </c>
      <c r="E79" s="2">
        <f t="shared" si="13"/>
        <v>3221.0200000000023</v>
      </c>
      <c r="F79" s="3"/>
    </row>
    <row r="80" spans="1:6" x14ac:dyDescent="0.25">
      <c r="A80" s="1">
        <v>46204</v>
      </c>
      <c r="B80" s="2">
        <f t="shared" ca="1" si="16"/>
        <v>42959.968168622632</v>
      </c>
      <c r="C80" s="2">
        <f t="shared" si="7"/>
        <v>8857.8050000000057</v>
      </c>
      <c r="D80" s="2">
        <f t="shared" ca="1" si="12"/>
        <v>15035.98885901792</v>
      </c>
      <c r="E80" s="2">
        <f t="shared" si="13"/>
        <v>3221.0200000000023</v>
      </c>
      <c r="F80" s="3"/>
    </row>
    <row r="81" spans="1:6" x14ac:dyDescent="0.25">
      <c r="A81" s="1">
        <v>46235</v>
      </c>
      <c r="B81" s="2">
        <f t="shared" ca="1" si="16"/>
        <v>50032.645854920258</v>
      </c>
      <c r="C81" s="2">
        <f t="shared" si="7"/>
        <v>8857.8050000000057</v>
      </c>
      <c r="D81" s="2">
        <f t="shared" ca="1" si="12"/>
        <v>17511.426049222089</v>
      </c>
      <c r="E81" s="2">
        <f t="shared" si="13"/>
        <v>3221.0200000000023</v>
      </c>
      <c r="F81" s="3"/>
    </row>
    <row r="82" spans="1:6" x14ac:dyDescent="0.25">
      <c r="A82" s="1">
        <v>46266</v>
      </c>
      <c r="B82" s="2">
        <f t="shared" ca="1" si="16"/>
        <v>35625.339456906571</v>
      </c>
      <c r="C82" s="2">
        <f t="shared" si="7"/>
        <v>8857.8050000000057</v>
      </c>
      <c r="D82" s="2">
        <f t="shared" ca="1" si="12"/>
        <v>12468.8688099173</v>
      </c>
      <c r="E82" s="2">
        <f t="shared" si="13"/>
        <v>3221.0200000000023</v>
      </c>
      <c r="F82" s="3"/>
    </row>
    <row r="83" spans="1:6" x14ac:dyDescent="0.25">
      <c r="A83" s="1">
        <v>46296</v>
      </c>
      <c r="B83" s="2">
        <f t="shared" ca="1" si="16"/>
        <v>28552.661770608935</v>
      </c>
      <c r="C83" s="2">
        <f t="shared" si="7"/>
        <v>8857.8050000000057</v>
      </c>
      <c r="D83" s="2">
        <f t="shared" ca="1" si="12"/>
        <v>9993.4316197131266</v>
      </c>
      <c r="E83" s="2">
        <f t="shared" si="13"/>
        <v>3221.0200000000023</v>
      </c>
      <c r="F83" s="3"/>
    </row>
    <row r="84" spans="1:6" x14ac:dyDescent="0.25">
      <c r="A84" s="1">
        <v>46327</v>
      </c>
      <c r="B84" s="2">
        <f t="shared" ca="1" si="16"/>
        <v>52390.205083686124</v>
      </c>
      <c r="C84" s="2">
        <f t="shared" si="7"/>
        <v>8857.8050000000057</v>
      </c>
      <c r="D84" s="2">
        <f t="shared" ca="1" si="12"/>
        <v>18336.571779290141</v>
      </c>
      <c r="E84" s="2">
        <f t="shared" si="13"/>
        <v>3221.0200000000023</v>
      </c>
      <c r="F84" s="3"/>
    </row>
    <row r="85" spans="1:6" x14ac:dyDescent="0.25">
      <c r="A85" s="1">
        <v>46357</v>
      </c>
      <c r="B85" s="2">
        <f t="shared" ca="1" si="16"/>
        <v>28552.661770608935</v>
      </c>
      <c r="C85" s="2">
        <f t="shared" si="7"/>
        <v>8857.8050000000057</v>
      </c>
      <c r="D85" s="2">
        <f t="shared" ca="1" si="12"/>
        <v>9993.4316197131266</v>
      </c>
      <c r="E85" s="2">
        <f t="shared" si="13"/>
        <v>3221.0200000000023</v>
      </c>
      <c r="F85" s="3"/>
    </row>
    <row r="86" spans="1:6" x14ac:dyDescent="0.25">
      <c r="A86" s="1">
        <v>46388</v>
      </c>
      <c r="B86" s="2">
        <f t="shared" ca="1" si="16"/>
        <v>40278.113570388734</v>
      </c>
      <c r="C86" s="2">
        <f t="shared" ref="C86:C121" si="17">+C85*1.1</f>
        <v>9743.5855000000065</v>
      </c>
      <c r="D86" s="2">
        <f t="shared" ca="1" si="12"/>
        <v>14097.339749636056</v>
      </c>
      <c r="E86" s="2">
        <f t="shared" si="13"/>
        <v>3543.1220000000026</v>
      </c>
      <c r="F86" s="3"/>
    </row>
    <row r="87" spans="1:6" x14ac:dyDescent="0.25">
      <c r="A87" s="1">
        <v>46419</v>
      </c>
      <c r="B87" s="2">
        <f t="shared" ca="1" si="16"/>
        <v>53704.151427184981</v>
      </c>
      <c r="C87" s="2">
        <f t="shared" ref="C87:C121" si="18">+C86</f>
        <v>9743.5855000000065</v>
      </c>
      <c r="D87" s="2">
        <f t="shared" ca="1" si="12"/>
        <v>18796.452999514742</v>
      </c>
      <c r="E87" s="2">
        <f t="shared" si="13"/>
        <v>3543.1220000000026</v>
      </c>
      <c r="F87" s="3"/>
    </row>
    <row r="88" spans="1:6" x14ac:dyDescent="0.25">
      <c r="A88" s="1">
        <v>46447</v>
      </c>
      <c r="B88" s="2">
        <f t="shared" ca="1" si="16"/>
        <v>29592.083439469276</v>
      </c>
      <c r="C88" s="2">
        <f t="shared" si="7"/>
        <v>9743.5855000000065</v>
      </c>
      <c r="D88" s="2">
        <f t="shared" ca="1" si="12"/>
        <v>10357.229203814246</v>
      </c>
      <c r="E88" s="2">
        <f t="shared" si="13"/>
        <v>3543.1220000000026</v>
      </c>
      <c r="F88" s="3"/>
    </row>
    <row r="89" spans="1:6" x14ac:dyDescent="0.25">
      <c r="A89" s="1">
        <v>46478</v>
      </c>
      <c r="B89" s="2">
        <f t="shared" ca="1" si="16"/>
        <v>38360.108162274977</v>
      </c>
      <c r="C89" s="2">
        <f t="shared" si="7"/>
        <v>9743.5855000000065</v>
      </c>
      <c r="D89" s="2">
        <f t="shared" ca="1" si="12"/>
        <v>13426.037856796242</v>
      </c>
      <c r="E89" s="2">
        <f t="shared" si="13"/>
        <v>3543.1220000000026</v>
      </c>
      <c r="F89" s="3"/>
    </row>
    <row r="90" spans="1:6" x14ac:dyDescent="0.25">
      <c r="A90" s="1">
        <v>46508</v>
      </c>
      <c r="B90" s="2">
        <f t="shared" ca="1" si="16"/>
        <v>43292.12206885319</v>
      </c>
      <c r="C90" s="2">
        <f t="shared" si="7"/>
        <v>9743.5855000000065</v>
      </c>
      <c r="D90" s="2">
        <f t="shared" ca="1" si="12"/>
        <v>15152.242724098616</v>
      </c>
      <c r="E90" s="2">
        <f t="shared" si="13"/>
        <v>3543.1220000000026</v>
      </c>
      <c r="F90" s="3"/>
    </row>
    <row r="91" spans="1:6" x14ac:dyDescent="0.25">
      <c r="A91" s="1">
        <v>46539</v>
      </c>
      <c r="B91" s="2">
        <f t="shared" ca="1" si="16"/>
        <v>46306.130567317661</v>
      </c>
      <c r="C91" s="2">
        <f t="shared" si="7"/>
        <v>9743.5855000000065</v>
      </c>
      <c r="D91" s="2">
        <f t="shared" ca="1" si="12"/>
        <v>16207.14569856118</v>
      </c>
      <c r="E91" s="2">
        <f t="shared" si="13"/>
        <v>3543.1220000000026</v>
      </c>
      <c r="F91" s="3"/>
    </row>
    <row r="92" spans="1:6" x14ac:dyDescent="0.25">
      <c r="A92" s="1">
        <v>46569</v>
      </c>
      <c r="B92" s="2">
        <f t="shared" ca="1" si="16"/>
        <v>44936.126704379276</v>
      </c>
      <c r="C92" s="2">
        <f t="shared" si="7"/>
        <v>9743.5855000000065</v>
      </c>
      <c r="D92" s="2">
        <f t="shared" ca="1" si="12"/>
        <v>15727.644346532745</v>
      </c>
      <c r="E92" s="2">
        <f t="shared" si="13"/>
        <v>3543.1220000000026</v>
      </c>
      <c r="F92" s="3"/>
    </row>
    <row r="93" spans="1:6" x14ac:dyDescent="0.25">
      <c r="A93" s="1">
        <v>46600</v>
      </c>
      <c r="B93" s="2">
        <f t="shared" ca="1" si="16"/>
        <v>52334.147564246588</v>
      </c>
      <c r="C93" s="2">
        <f t="shared" si="7"/>
        <v>9743.5855000000065</v>
      </c>
      <c r="D93" s="2">
        <f t="shared" ca="1" si="12"/>
        <v>18316.951647486305</v>
      </c>
      <c r="E93" s="2">
        <f t="shared" si="13"/>
        <v>3543.1220000000026</v>
      </c>
      <c r="F93" s="3"/>
    </row>
    <row r="94" spans="1:6" x14ac:dyDescent="0.25">
      <c r="A94" s="1">
        <v>46631</v>
      </c>
      <c r="B94" s="2">
        <f t="shared" ca="1" si="16"/>
        <v>37264.105071924278</v>
      </c>
      <c r="C94" s="2">
        <f t="shared" si="7"/>
        <v>9743.5855000000065</v>
      </c>
      <c r="D94" s="2">
        <f t="shared" ca="1" si="12"/>
        <v>13042.436775173497</v>
      </c>
      <c r="E94" s="2">
        <f t="shared" si="13"/>
        <v>3543.1220000000026</v>
      </c>
      <c r="F94" s="3"/>
    </row>
    <row r="95" spans="1:6" x14ac:dyDescent="0.25">
      <c r="A95" s="1">
        <v>46661</v>
      </c>
      <c r="B95" s="2">
        <f t="shared" ca="1" si="16"/>
        <v>29866.084212056947</v>
      </c>
      <c r="C95" s="2">
        <f t="shared" si="7"/>
        <v>9743.5855000000065</v>
      </c>
      <c r="D95" s="2">
        <f t="shared" ca="1" si="12"/>
        <v>10453.129474219932</v>
      </c>
      <c r="E95" s="2">
        <f t="shared" si="13"/>
        <v>3543.1220000000026</v>
      </c>
      <c r="F95" s="3"/>
    </row>
    <row r="96" spans="1:6" x14ac:dyDescent="0.25">
      <c r="A96" s="1">
        <v>46692</v>
      </c>
      <c r="B96" s="2">
        <f t="shared" ca="1" si="16"/>
        <v>54800.154517535688</v>
      </c>
      <c r="C96" s="2">
        <f t="shared" si="7"/>
        <v>9743.5855000000065</v>
      </c>
      <c r="D96" s="2">
        <f t="shared" ca="1" si="12"/>
        <v>19180.054081137489</v>
      </c>
      <c r="E96" s="2">
        <f t="shared" si="13"/>
        <v>3543.1220000000026</v>
      </c>
      <c r="F96" s="3"/>
    </row>
    <row r="97" spans="1:6" x14ac:dyDescent="0.25">
      <c r="A97" s="1">
        <v>46722</v>
      </c>
      <c r="B97" s="2">
        <f t="shared" ca="1" si="16"/>
        <v>29866.084212056947</v>
      </c>
      <c r="C97" s="2">
        <f t="shared" si="7"/>
        <v>9743.5855000000065</v>
      </c>
      <c r="D97" s="2">
        <f t="shared" ca="1" si="12"/>
        <v>10453.129474219932</v>
      </c>
      <c r="E97" s="2">
        <f t="shared" si="13"/>
        <v>3543.1220000000026</v>
      </c>
      <c r="F97" s="3"/>
    </row>
    <row r="98" spans="1:6" x14ac:dyDescent="0.25">
      <c r="A98" s="1">
        <v>46753</v>
      </c>
      <c r="B98" s="2">
        <f t="shared" ca="1" si="16"/>
        <v>42130.906794626615</v>
      </c>
      <c r="C98" s="2">
        <f t="shared" ref="C98:C121" si="19">+C97*1.1</f>
        <v>10717.944050000007</v>
      </c>
      <c r="D98" s="2">
        <f t="shared" ca="1" si="12"/>
        <v>14745.817378119315</v>
      </c>
      <c r="E98" s="2">
        <f t="shared" si="13"/>
        <v>3897.4342000000029</v>
      </c>
      <c r="F98" s="3"/>
    </row>
    <row r="99" spans="1:6" x14ac:dyDescent="0.25">
      <c r="A99" s="1">
        <v>46784</v>
      </c>
      <c r="B99" s="2">
        <f t="shared" ca="1" si="16"/>
        <v>56174.542392835494</v>
      </c>
      <c r="C99" s="2">
        <f t="shared" ref="C99:C121" si="20">+C98</f>
        <v>10717.944050000007</v>
      </c>
      <c r="D99" s="2">
        <f t="shared" ca="1" si="12"/>
        <v>19661.089837492422</v>
      </c>
      <c r="E99" s="2">
        <f t="shared" si="13"/>
        <v>3897.4342000000029</v>
      </c>
      <c r="F99" s="3"/>
    </row>
    <row r="100" spans="1:6" x14ac:dyDescent="0.25">
      <c r="A100" s="1">
        <v>46813</v>
      </c>
      <c r="B100" s="2">
        <f t="shared" ca="1" si="16"/>
        <v>30953.319277684863</v>
      </c>
      <c r="C100" s="2">
        <f t="shared" si="7"/>
        <v>10717.944050000007</v>
      </c>
      <c r="D100" s="2">
        <f t="shared" ca="1" si="12"/>
        <v>10833.661747189701</v>
      </c>
      <c r="E100" s="2">
        <f t="shared" si="13"/>
        <v>3897.4342000000029</v>
      </c>
      <c r="F100" s="3"/>
    </row>
    <row r="101" spans="1:6" x14ac:dyDescent="0.25">
      <c r="A101" s="1">
        <v>46844</v>
      </c>
      <c r="B101" s="2">
        <f t="shared" ca="1" si="16"/>
        <v>40124.673137739628</v>
      </c>
      <c r="C101" s="2">
        <f t="shared" si="7"/>
        <v>10717.944050000007</v>
      </c>
      <c r="D101" s="2">
        <f t="shared" ca="1" si="12"/>
        <v>14043.63559820887</v>
      </c>
      <c r="E101" s="2">
        <f t="shared" si="13"/>
        <v>3897.4342000000029</v>
      </c>
      <c r="F101" s="3"/>
    </row>
    <row r="102" spans="1:6" x14ac:dyDescent="0.25">
      <c r="A102" s="1">
        <v>46874</v>
      </c>
      <c r="B102" s="2">
        <f t="shared" ca="1" si="16"/>
        <v>45283.559684020438</v>
      </c>
      <c r="C102" s="2">
        <f t="shared" si="7"/>
        <v>10717.944050000007</v>
      </c>
      <c r="D102" s="2">
        <f t="shared" ca="1" si="12"/>
        <v>15849.245889407151</v>
      </c>
      <c r="E102" s="2">
        <f t="shared" si="13"/>
        <v>3897.4342000000029</v>
      </c>
      <c r="F102" s="3"/>
    </row>
    <row r="103" spans="1:6" x14ac:dyDescent="0.25">
      <c r="A103" s="1">
        <v>46905</v>
      </c>
      <c r="B103" s="2">
        <f t="shared" ca="1" si="16"/>
        <v>48436.212573414276</v>
      </c>
      <c r="C103" s="2">
        <f t="shared" ref="C103:C121" si="21">+C102</f>
        <v>10717.944050000007</v>
      </c>
      <c r="D103" s="2">
        <f t="shared" ca="1" si="12"/>
        <v>16952.674400694996</v>
      </c>
      <c r="E103" s="2">
        <f t="shared" si="13"/>
        <v>3897.4342000000029</v>
      </c>
      <c r="F103" s="3"/>
    </row>
    <row r="104" spans="1:6" x14ac:dyDescent="0.25">
      <c r="A104" s="1">
        <v>46935</v>
      </c>
      <c r="B104" s="2">
        <f t="shared" ca="1" si="16"/>
        <v>47003.188532780725</v>
      </c>
      <c r="C104" s="2">
        <f t="shared" si="21"/>
        <v>10717.944050000007</v>
      </c>
      <c r="D104" s="2">
        <f t="shared" ca="1" si="12"/>
        <v>16451.115986473254</v>
      </c>
      <c r="E104" s="2">
        <f t="shared" si="13"/>
        <v>3897.4342000000029</v>
      </c>
      <c r="F104" s="3"/>
    </row>
    <row r="105" spans="1:6" x14ac:dyDescent="0.25">
      <c r="A105" s="1">
        <v>46966</v>
      </c>
      <c r="B105" s="2">
        <f t="shared" ca="1" si="16"/>
        <v>54741.518352201936</v>
      </c>
      <c r="C105" s="2">
        <f t="shared" si="21"/>
        <v>10717.944050000007</v>
      </c>
      <c r="D105" s="2">
        <f t="shared" ca="1" si="12"/>
        <v>19159.531423270677</v>
      </c>
      <c r="E105" s="2">
        <f t="shared" si="13"/>
        <v>3897.4342000000029</v>
      </c>
      <c r="F105" s="3"/>
    </row>
    <row r="106" spans="1:6" x14ac:dyDescent="0.25">
      <c r="A106" s="1">
        <v>46997</v>
      </c>
      <c r="B106" s="2">
        <f t="shared" ca="1" si="16"/>
        <v>38978.253905232799</v>
      </c>
      <c r="C106" s="2">
        <f t="shared" si="21"/>
        <v>10717.944050000007</v>
      </c>
      <c r="D106" s="2">
        <f t="shared" ca="1" si="12"/>
        <v>13642.388866831479</v>
      </c>
      <c r="E106" s="2">
        <f t="shared" si="13"/>
        <v>3897.4342000000029</v>
      </c>
      <c r="F106" s="3"/>
    </row>
    <row r="107" spans="1:6" x14ac:dyDescent="0.25">
      <c r="A107" s="1">
        <v>47027</v>
      </c>
      <c r="B107" s="2">
        <f t="shared" ca="1" si="16"/>
        <v>31239.924085811566</v>
      </c>
      <c r="C107" s="2">
        <f t="shared" si="21"/>
        <v>10717.944050000007</v>
      </c>
      <c r="D107" s="2">
        <f t="shared" ca="1" si="12"/>
        <v>10933.973430034048</v>
      </c>
      <c r="E107" s="2">
        <f t="shared" si="13"/>
        <v>3897.4342000000029</v>
      </c>
      <c r="F107" s="3"/>
    </row>
    <row r="108" spans="1:6" x14ac:dyDescent="0.25">
      <c r="A108" s="1">
        <v>47058</v>
      </c>
      <c r="B108" s="2">
        <f t="shared" ca="1" si="16"/>
        <v>57320.96162534233</v>
      </c>
      <c r="C108" s="2">
        <f t="shared" si="21"/>
        <v>10717.944050000007</v>
      </c>
      <c r="D108" s="2">
        <f t="shared" ca="1" si="12"/>
        <v>20062.336568869814</v>
      </c>
      <c r="E108" s="2">
        <f t="shared" si="13"/>
        <v>3897.4342000000029</v>
      </c>
      <c r="F108" s="3"/>
    </row>
    <row r="109" spans="1:6" x14ac:dyDescent="0.25">
      <c r="A109" s="1">
        <v>47088</v>
      </c>
      <c r="B109" s="2">
        <f t="shared" ca="1" si="16"/>
        <v>31239.924085811566</v>
      </c>
      <c r="C109" s="2">
        <f t="shared" si="21"/>
        <v>10717.944050000007</v>
      </c>
      <c r="D109" s="2">
        <f t="shared" ca="1" si="12"/>
        <v>10933.973430034048</v>
      </c>
      <c r="E109" s="2">
        <f t="shared" si="13"/>
        <v>3897.4342000000029</v>
      </c>
      <c r="F109" s="3"/>
    </row>
    <row r="110" spans="1:6" x14ac:dyDescent="0.25">
      <c r="A110" s="1">
        <v>47119</v>
      </c>
      <c r="B110" s="2">
        <f t="shared" ca="1" si="16"/>
        <v>44068.928507179444</v>
      </c>
      <c r="C110" s="2">
        <f t="shared" ref="C110:C121" si="22">+C109*1.1</f>
        <v>11789.73845500001</v>
      </c>
      <c r="D110" s="2">
        <f t="shared" ca="1" si="12"/>
        <v>15424.124977512804</v>
      </c>
      <c r="E110" s="2">
        <f t="shared" si="13"/>
        <v>4287.1776200000031</v>
      </c>
      <c r="F110" s="3"/>
    </row>
    <row r="111" spans="1:6" x14ac:dyDescent="0.25">
      <c r="A111" s="1">
        <v>47150</v>
      </c>
      <c r="B111" s="2">
        <f t="shared" ca="1" si="16"/>
        <v>58758.571342905932</v>
      </c>
      <c r="C111" s="2">
        <f t="shared" ref="C111:C121" si="23">+C110</f>
        <v>11789.73845500001</v>
      </c>
      <c r="D111" s="2">
        <f t="shared" ca="1" si="12"/>
        <v>20565.499970017074</v>
      </c>
      <c r="E111" s="2">
        <f t="shared" si="13"/>
        <v>4287.1776200000031</v>
      </c>
      <c r="F111" s="3"/>
    </row>
    <row r="112" spans="1:6" x14ac:dyDescent="0.25">
      <c r="A112" s="1">
        <v>47178</v>
      </c>
      <c r="B112" s="2">
        <f t="shared" ca="1" si="16"/>
        <v>32377.171964458368</v>
      </c>
      <c r="C112" s="2">
        <f t="shared" si="21"/>
        <v>11789.73845500001</v>
      </c>
      <c r="D112" s="2">
        <f t="shared" ca="1" si="12"/>
        <v>11332.010187560429</v>
      </c>
      <c r="E112" s="2">
        <f t="shared" si="13"/>
        <v>4287.1776200000031</v>
      </c>
      <c r="F112" s="3"/>
    </row>
    <row r="113" spans="1:6" x14ac:dyDescent="0.25">
      <c r="A113" s="1">
        <v>47209</v>
      </c>
      <c r="B113" s="2">
        <f t="shared" ca="1" si="16"/>
        <v>41970.408102075649</v>
      </c>
      <c r="C113" s="2">
        <f t="shared" si="21"/>
        <v>11789.73845500001</v>
      </c>
      <c r="D113" s="2">
        <f t="shared" ca="1" si="12"/>
        <v>14689.642835726476</v>
      </c>
      <c r="E113" s="2">
        <f t="shared" si="13"/>
        <v>4287.1776200000031</v>
      </c>
      <c r="F113" s="3"/>
    </row>
    <row r="114" spans="1:6" x14ac:dyDescent="0.25">
      <c r="A114" s="1">
        <v>47239</v>
      </c>
      <c r="B114" s="2">
        <f t="shared" ca="1" si="16"/>
        <v>47366.603429485382</v>
      </c>
      <c r="C114" s="2">
        <f t="shared" si="21"/>
        <v>11789.73845500001</v>
      </c>
      <c r="D114" s="2">
        <f t="shared" ca="1" si="12"/>
        <v>16578.311200319884</v>
      </c>
      <c r="E114" s="2">
        <f t="shared" si="13"/>
        <v>4287.1776200000031</v>
      </c>
      <c r="F114" s="3"/>
    </row>
    <row r="115" spans="1:6" x14ac:dyDescent="0.25">
      <c r="A115" s="1">
        <v>47270</v>
      </c>
      <c r="B115" s="2">
        <f t="shared" ca="1" si="16"/>
        <v>50664.278351791334</v>
      </c>
      <c r="C115" s="2">
        <f t="shared" si="21"/>
        <v>11789.73845500001</v>
      </c>
      <c r="D115" s="2">
        <f t="shared" ca="1" si="12"/>
        <v>17732.497423126966</v>
      </c>
      <c r="E115" s="2">
        <f t="shared" si="13"/>
        <v>4287.1776200000031</v>
      </c>
      <c r="F115" s="3"/>
    </row>
    <row r="116" spans="1:6" x14ac:dyDescent="0.25">
      <c r="A116" s="1">
        <v>47300</v>
      </c>
      <c r="B116" s="2">
        <f t="shared" ca="1" si="16"/>
        <v>49165.33520528864</v>
      </c>
      <c r="C116" s="2">
        <f t="shared" si="21"/>
        <v>11789.73845500001</v>
      </c>
      <c r="D116" s="2">
        <f t="shared" ca="1" si="12"/>
        <v>17207.867321851023</v>
      </c>
      <c r="E116" s="2">
        <f t="shared" si="13"/>
        <v>4287.1776200000031</v>
      </c>
      <c r="F116" s="3"/>
    </row>
    <row r="117" spans="1:6" x14ac:dyDescent="0.25">
      <c r="A117" s="1">
        <v>47331</v>
      </c>
      <c r="B117" s="2">
        <f t="shared" ca="1" si="16"/>
        <v>57259.628196403224</v>
      </c>
      <c r="C117" s="2">
        <f t="shared" si="21"/>
        <v>11789.73845500001</v>
      </c>
      <c r="D117" s="2">
        <f t="shared" ca="1" si="12"/>
        <v>20040.869868741127</v>
      </c>
      <c r="E117" s="2">
        <f t="shared" si="13"/>
        <v>4287.1776200000031</v>
      </c>
      <c r="F117" s="3"/>
    </row>
    <row r="118" spans="1:6" x14ac:dyDescent="0.25">
      <c r="A118" s="1">
        <v>47362</v>
      </c>
      <c r="B118" s="2">
        <f t="shared" ca="1" si="16"/>
        <v>40771.253584873506</v>
      </c>
      <c r="C118" s="2">
        <f t="shared" si="21"/>
        <v>11789.73845500001</v>
      </c>
      <c r="D118" s="2">
        <f t="shared" ca="1" si="12"/>
        <v>14269.938754705727</v>
      </c>
      <c r="E118" s="2">
        <f t="shared" si="13"/>
        <v>4287.1776200000031</v>
      </c>
      <c r="F118" s="3"/>
    </row>
    <row r="119" spans="1:6" x14ac:dyDescent="0.25">
      <c r="A119" s="1">
        <v>47392</v>
      </c>
      <c r="B119" s="2">
        <f t="shared" ca="1" si="16"/>
        <v>32676.9605937589</v>
      </c>
      <c r="C119" s="2">
        <f t="shared" si="21"/>
        <v>11789.73845500001</v>
      </c>
      <c r="D119" s="2">
        <f t="shared" ca="1" si="12"/>
        <v>11436.936207815614</v>
      </c>
      <c r="E119" s="2">
        <f t="shared" si="13"/>
        <v>4287.1776200000031</v>
      </c>
      <c r="F119" s="3"/>
    </row>
    <row r="120" spans="1:6" x14ac:dyDescent="0.25">
      <c r="A120" s="1">
        <v>47423</v>
      </c>
      <c r="B120" s="2">
        <f t="shared" ca="1" si="16"/>
        <v>59957.725860108083</v>
      </c>
      <c r="C120" s="2">
        <f t="shared" si="21"/>
        <v>11789.73845500001</v>
      </c>
      <c r="D120" s="2">
        <f t="shared" ca="1" si="12"/>
        <v>20985.204051037828</v>
      </c>
      <c r="E120" s="2">
        <f t="shared" si="13"/>
        <v>4287.1776200000031</v>
      </c>
      <c r="F120" s="3"/>
    </row>
    <row r="121" spans="1:6" x14ac:dyDescent="0.25">
      <c r="A121" s="1">
        <v>47453</v>
      </c>
      <c r="B121" s="2">
        <f t="shared" ca="1" si="16"/>
        <v>32676.9605937589</v>
      </c>
      <c r="C121" s="2">
        <f t="shared" si="21"/>
        <v>11789.73845500001</v>
      </c>
      <c r="D121" s="2">
        <f t="shared" ca="1" si="12"/>
        <v>11436.936207815614</v>
      </c>
      <c r="E121" s="2">
        <f t="shared" si="13"/>
        <v>4287.1776200000031</v>
      </c>
      <c r="F1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GERARDO GARCIA CASTRO</dc:creator>
  <cp:lastModifiedBy>LUIS GERARDO GARCIA CASTRO</cp:lastModifiedBy>
  <dcterms:created xsi:type="dcterms:W3CDTF">2026-03-21T02:00:46Z</dcterms:created>
  <dcterms:modified xsi:type="dcterms:W3CDTF">2026-03-21T02:11:45Z</dcterms:modified>
</cp:coreProperties>
</file>